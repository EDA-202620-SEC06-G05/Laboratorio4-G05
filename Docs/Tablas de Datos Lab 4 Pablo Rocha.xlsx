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da3bd4b4a72ecc/Documentos/1. Universidad/Semestres/2026-2/Clases 2026-2/EDA/"/>
    </mc:Choice>
  </mc:AlternateContent>
  <xr:revisionPtr revIDLastSave="0" documentId="8_{584FD240-4BF7-4089-92A5-8E132E39E65C}" xr6:coauthVersionLast="47" xr6:coauthVersionMax="47" xr10:uidLastSave="{00000000-0000-0000-0000-000000000000}"/>
  <bookViews>
    <workbookView xWindow="-120" yWindow="-120" windowWidth="20730" windowHeight="11760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17" i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<sst xmlns="http://schemas.openxmlformats.org/spreadsheetml/2006/main" count="20" uniqueCount="17">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</sst>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10" fontId="1" fillId="0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  <c:pt idx="0">
                  <c:v>8.4000000000000005E-2</c:v>
                </c:pt>
                <c:pt idx="1">
                  <c:v>0.30299999999999999</c:v>
                </c:pt>
                <c:pt idx="2">
                  <c:v>0.76400000000000001</c:v>
                </c:pt>
                <c:pt idx="3">
                  <c:v>1.258</c:v>
                </c:pt>
                <c:pt idx="4">
                  <c:v>1.613</c:v>
                </c:pt>
                <c:pt idx="5">
                  <c:v>2.7549999999999999</c:v>
                </c:pt>
                <c:pt idx="6">
                  <c:v>4.5359999999999996</c:v>
                </c:pt>
                <c:pt idx="7">
                  <c:v>5.8630000000000004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4'!$C$14:$C$22</c:f>
              <c:numCache>
                <c:formatCode>General</c:formatCode>
                <c:ptCount val="9"/>
                <c:pt idx="0">
                  <c:v>6.6000000000000003E-2</c:v>
                </c:pt>
                <c:pt idx="1">
                  <c:v>0.379</c:v>
                </c:pt>
                <c:pt idx="2">
                  <c:v>0.70099999999999996</c:v>
                </c:pt>
                <c:pt idx="3">
                  <c:v>1.1100000000000001</c:v>
                </c:pt>
                <c:pt idx="4">
                  <c:v>1.4790000000000001</c:v>
                </c:pt>
                <c:pt idx="5">
                  <c:v>2.8090000000000002</c:v>
                </c:pt>
                <c:pt idx="6">
                  <c:v>4.0209999999999999</c:v>
                </c:pt>
                <c:pt idx="7">
                  <c:v>5.07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  <c:pt idx="0">
                  <c:v>9.4E-2</c:v>
                </c:pt>
                <c:pt idx="1">
                  <c:v>1.097</c:v>
                </c:pt>
                <c:pt idx="2">
                  <c:v>3.298</c:v>
                </c:pt>
                <c:pt idx="3">
                  <c:v>9.6140000000000008</c:v>
                </c:pt>
                <c:pt idx="4">
                  <c:v>20.131</c:v>
                </c:pt>
                <c:pt idx="5">
                  <c:v>53.140999999999998</c:v>
                </c:pt>
                <c:pt idx="6">
                  <c:v>151.83500000000001</c:v>
                </c:pt>
                <c:pt idx="7">
                  <c:v>226.22499999999999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4'!$D$14:$D$22</c:f>
              <c:numCache>
                <c:formatCode>General</c:formatCode>
                <c:ptCount val="9"/>
                <c:pt idx="0">
                  <c:v>5.8000000000000003E-2</c:v>
                </c:pt>
                <c:pt idx="1">
                  <c:v>1.1240000000000001</c:v>
                </c:pt>
                <c:pt idx="2">
                  <c:v>4.21</c:v>
                </c:pt>
                <c:pt idx="3">
                  <c:v>9.98</c:v>
                </c:pt>
                <c:pt idx="4">
                  <c:v>19.817</c:v>
                </c:pt>
                <c:pt idx="5">
                  <c:v>52.381</c:v>
                </c:pt>
                <c:pt idx="6">
                  <c:v>140.553</c:v>
                </c:pt>
                <c:pt idx="7">
                  <c:v>222.35599999999999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  <c:pt idx="0">
                  <c:v>4.0000000000000001E-3</c:v>
                </c:pt>
                <c:pt idx="1">
                  <c:v>3.0000000000000001E-3</c:v>
                </c:pt>
                <c:pt idx="2">
                  <c:v>2E-3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4'!$E$14:$E$22</c:f>
              <c:numCache>
                <c:formatCode>General</c:formatCode>
                <c:ptCount val="9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1E-3</c:v>
                </c:pt>
                <c:pt idx="5">
                  <c:v>2E-3</c:v>
                </c:pt>
                <c:pt idx="6">
                  <c:v>6.0000000000000001E-3</c:v>
                </c:pt>
                <c:pt idx="7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  <c:pt idx="0">
                  <c:v>0.03</c:v>
                </c:pt>
                <c:pt idx="1">
                  <c:v>0.155</c:v>
                </c:pt>
                <c:pt idx="2">
                  <c:v>0.311</c:v>
                </c:pt>
                <c:pt idx="3">
                  <c:v>0.70899999999999996</c:v>
                </c:pt>
                <c:pt idx="4">
                  <c:v>1.0209999999999999</c:v>
                </c:pt>
                <c:pt idx="5">
                  <c:v>1.7869999999999999</c:v>
                </c:pt>
                <c:pt idx="6">
                  <c:v>3.2090000000000001</c:v>
                </c:pt>
                <c:pt idx="7">
                  <c:v>3.5590000000000002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4'!$F$14:$F$22</c:f>
              <c:numCache>
                <c:formatCode>General</c:formatCode>
                <c:ptCount val="9"/>
                <c:pt idx="0">
                  <c:v>1.7000000000000001E-2</c:v>
                </c:pt>
                <c:pt idx="1">
                  <c:v>0.16</c:v>
                </c:pt>
                <c:pt idx="2">
                  <c:v>0.49399999999999999</c:v>
                </c:pt>
                <c:pt idx="3">
                  <c:v>0.66900000000000004</c:v>
                </c:pt>
                <c:pt idx="4">
                  <c:v>1.0269999999999999</c:v>
                </c:pt>
                <c:pt idx="5">
                  <c:v>1.804</c:v>
                </c:pt>
                <c:pt idx="6">
                  <c:v>3.1779999999999999</c:v>
                </c:pt>
                <c:pt idx="7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  <c:pt idx="0">
                  <c:v>7.6999999999999999E-2</c:v>
                </c:pt>
                <c:pt idx="1">
                  <c:v>1.1519999999999999</c:v>
                </c:pt>
                <c:pt idx="2">
                  <c:v>3.484</c:v>
                </c:pt>
                <c:pt idx="3">
                  <c:v>9.9529999999999994</c:v>
                </c:pt>
                <c:pt idx="4">
                  <c:v>21.053999999999998</c:v>
                </c:pt>
                <c:pt idx="5">
                  <c:v>53.418999999999997</c:v>
                </c:pt>
                <c:pt idx="6">
                  <c:v>137.38200000000001</c:v>
                </c:pt>
                <c:pt idx="7">
                  <c:v>227.245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4'!$G$14:$G$22</c:f>
              <c:numCache>
                <c:formatCode>General</c:formatCode>
                <c:ptCount val="9"/>
                <c:pt idx="0">
                  <c:v>5.1999999999999998E-2</c:v>
                </c:pt>
                <c:pt idx="1">
                  <c:v>1.0449999999999999</c:v>
                </c:pt>
                <c:pt idx="2">
                  <c:v>3.806</c:v>
                </c:pt>
                <c:pt idx="3">
                  <c:v>9.7530000000000001</c:v>
                </c:pt>
                <c:pt idx="4">
                  <c:v>20.097999999999999</c:v>
                </c:pt>
                <c:pt idx="5">
                  <c:v>53.573</c:v>
                </c:pt>
                <c:pt idx="6">
                  <c:v>139.53700000000001</c:v>
                </c:pt>
                <c:pt idx="7">
                  <c:v>222.10300000000001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  <c:pt idx="0">
                  <c:v>5.0000000000000001E-3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4.0000000000000001E-3</c:v>
                </c:pt>
                <c:pt idx="6">
                  <c:v>2E-3</c:v>
                </c:pt>
                <c:pt idx="7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4'!$A$14:$A$22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4'!$H$14:$H$22</c:f>
              <c:numCache>
                <c:formatCode>General</c:formatCode>
                <c:ptCount val="9"/>
                <c:pt idx="0">
                  <c:v>1E-3</c:v>
                </c:pt>
                <c:pt idx="1">
                  <c:v>2E-3</c:v>
                </c:pt>
                <c:pt idx="2">
                  <c:v>2E-3</c:v>
                </c:pt>
                <c:pt idx="3">
                  <c:v>1E-3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2" totalsRowShown="0" headerRowDxfId="9" dataDxfId="8">
  <autoFilter ref="A13:H22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2"/>
  <sheetViews>
    <sheetView tabSelected="1" zoomScale="90" zoomScaleNormal="90" workbookViewId="0">
      <selection activeCell="E20" sqref="E20"/>
    </sheetView>
  </sheetViews>
  <sheetFormatPr baseColWidth="10" defaultColWidth="8.85546875" defaultRowHeight="15"/>
  <cols>
    <col min="1" max="1" width="19.140625" style="1" bestFit="1" customWidth="1"/>
    <col min="2" max="2" width="25.5703125" style="1" bestFit="1" customWidth="1"/>
    <col min="3" max="4" width="24.42578125" style="1" customWidth="1"/>
    <col min="5" max="5" width="24.42578125" style="6" customWidth="1"/>
    <col min="6" max="12" width="24.4257812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30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>
      <c r="A3" s="2">
        <v>5.0000000000000001E-3</v>
      </c>
      <c r="B3" s="3">
        <f>Table1[[#This Row],[Porcentaje de la muestra '[pct']]]*10000</f>
        <v>50</v>
      </c>
      <c r="C3" s="4">
        <v>8.4000000000000005E-2</v>
      </c>
      <c r="D3" s="4">
        <v>9.4E-2</v>
      </c>
      <c r="E3" s="4">
        <v>4.0000000000000001E-3</v>
      </c>
      <c r="F3" s="4">
        <v>0.03</v>
      </c>
      <c r="G3" s="4">
        <v>7.6999999999999999E-2</v>
      </c>
      <c r="H3" s="4">
        <v>5.0000000000000001E-3</v>
      </c>
    </row>
    <row r="4" spans="1:8" s="5" customFormat="1">
      <c r="A4" s="2">
        <v>0.05</v>
      </c>
      <c r="B4" s="3">
        <f>Table1[[#This Row],[Porcentaje de la muestra '[pct']]]*10000</f>
        <v>500</v>
      </c>
      <c r="C4" s="4">
        <v>0.30299999999999999</v>
      </c>
      <c r="D4" s="4">
        <v>1.097</v>
      </c>
      <c r="E4" s="4">
        <v>3.0000000000000001E-3</v>
      </c>
      <c r="F4" s="4">
        <v>0.155</v>
      </c>
      <c r="G4" s="4">
        <v>1.1519999999999999</v>
      </c>
      <c r="H4" s="4">
        <v>2E-3</v>
      </c>
    </row>
    <row r="5" spans="1:8">
      <c r="A5" s="2">
        <v>0.1</v>
      </c>
      <c r="B5" s="3">
        <f>Table1[[#This Row],[Porcentaje de la muestra '[pct']]]*10000</f>
        <v>1000</v>
      </c>
      <c r="C5" s="4">
        <v>0.76400000000000001</v>
      </c>
      <c r="D5" s="4">
        <v>3.298</v>
      </c>
      <c r="E5" s="4">
        <v>2E-3</v>
      </c>
      <c r="F5" s="4">
        <v>0.311</v>
      </c>
      <c r="G5" s="4">
        <v>3.484</v>
      </c>
      <c r="H5" s="4">
        <v>2E-3</v>
      </c>
    </row>
    <row r="6" spans="1:8">
      <c r="A6" s="2">
        <v>0.2</v>
      </c>
      <c r="B6" s="3">
        <f>Table1[[#This Row],[Porcentaje de la muestra '[pct']]]*10000</f>
        <v>2000</v>
      </c>
      <c r="C6" s="4">
        <v>1.258</v>
      </c>
      <c r="D6" s="4">
        <v>9.6140000000000008</v>
      </c>
      <c r="E6" s="4">
        <v>1E-3</v>
      </c>
      <c r="F6" s="4">
        <v>0.70899999999999996</v>
      </c>
      <c r="G6" s="4">
        <v>9.9529999999999994</v>
      </c>
      <c r="H6" s="4">
        <v>2E-3</v>
      </c>
    </row>
    <row r="7" spans="1:8">
      <c r="A7" s="2">
        <v>0.3</v>
      </c>
      <c r="B7" s="3">
        <f>Table1[[#This Row],[Porcentaje de la muestra '[pct']]]*10000</f>
        <v>3000</v>
      </c>
      <c r="C7" s="4">
        <v>1.613</v>
      </c>
      <c r="D7" s="4">
        <v>20.131</v>
      </c>
      <c r="E7" s="4">
        <v>1E-3</v>
      </c>
      <c r="F7" s="4">
        <v>1.0209999999999999</v>
      </c>
      <c r="G7" s="4">
        <v>21.053999999999998</v>
      </c>
      <c r="H7" s="4">
        <v>2E-3</v>
      </c>
    </row>
    <row r="8" spans="1:8">
      <c r="A8" s="2">
        <v>0.5</v>
      </c>
      <c r="B8" s="3">
        <f>Table1[[#This Row],[Porcentaje de la muestra '[pct']]]*10000</f>
        <v>5000</v>
      </c>
      <c r="C8" s="4">
        <v>2.7549999999999999</v>
      </c>
      <c r="D8" s="4">
        <v>53.140999999999998</v>
      </c>
      <c r="E8" s="4">
        <v>1E-3</v>
      </c>
      <c r="F8" s="4">
        <v>1.7869999999999999</v>
      </c>
      <c r="G8" s="4">
        <v>53.418999999999997</v>
      </c>
      <c r="H8" s="4">
        <v>4.0000000000000001E-3</v>
      </c>
    </row>
    <row r="9" spans="1:8">
      <c r="A9" s="2">
        <v>0.8</v>
      </c>
      <c r="B9" s="3">
        <f>Table1[[#This Row],[Porcentaje de la muestra '[pct']]]*10000</f>
        <v>8000</v>
      </c>
      <c r="C9" s="4">
        <v>4.5359999999999996</v>
      </c>
      <c r="D9" s="4">
        <v>151.83500000000001</v>
      </c>
      <c r="E9" s="4">
        <v>2E-3</v>
      </c>
      <c r="F9" s="4">
        <v>3.2090000000000001</v>
      </c>
      <c r="G9" s="4">
        <v>137.38200000000001</v>
      </c>
      <c r="H9" s="4">
        <v>2E-3</v>
      </c>
    </row>
    <row r="10" spans="1:8">
      <c r="A10" s="2">
        <v>1</v>
      </c>
      <c r="B10" s="3">
        <f>Table1[[#This Row],[Porcentaje de la muestra '[pct']]]*10000</f>
        <v>10000</v>
      </c>
      <c r="C10" s="4">
        <v>5.8630000000000004</v>
      </c>
      <c r="D10" s="4">
        <v>226.22499999999999</v>
      </c>
      <c r="E10" s="4">
        <v>2E-3</v>
      </c>
      <c r="F10" s="4">
        <v>3.5590000000000002</v>
      </c>
      <c r="G10" s="4">
        <v>227.245</v>
      </c>
      <c r="H10" s="4">
        <v>2E-3</v>
      </c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30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>
      <c r="A14" s="2">
        <v>5.0000000000000001E-3</v>
      </c>
      <c r="B14" s="3">
        <f>Table13[[#This Row],[Porcentaje de la muestra '[pct']]]*10000</f>
        <v>50</v>
      </c>
      <c r="C14" s="4">
        <v>6.6000000000000003E-2</v>
      </c>
      <c r="D14" s="4">
        <v>5.8000000000000003E-2</v>
      </c>
      <c r="E14" s="4">
        <v>2E-3</v>
      </c>
      <c r="F14" s="4">
        <v>1.7000000000000001E-2</v>
      </c>
      <c r="G14" s="4">
        <v>5.1999999999999998E-2</v>
      </c>
      <c r="H14" s="4">
        <v>1E-3</v>
      </c>
    </row>
    <row r="15" spans="1:8" s="5" customFormat="1">
      <c r="A15" s="2">
        <v>0.05</v>
      </c>
      <c r="B15" s="3">
        <f>Table13[[#This Row],[Porcentaje de la muestra '[pct']]]*10000</f>
        <v>500</v>
      </c>
      <c r="C15" s="4">
        <v>0.379</v>
      </c>
      <c r="D15" s="4">
        <v>1.1240000000000001</v>
      </c>
      <c r="E15" s="4">
        <v>2E-3</v>
      </c>
      <c r="F15" s="4">
        <v>0.16</v>
      </c>
      <c r="G15" s="4">
        <v>1.0449999999999999</v>
      </c>
      <c r="H15" s="4">
        <v>2E-3</v>
      </c>
    </row>
    <row r="16" spans="1:8">
      <c r="A16" s="2">
        <v>0.1</v>
      </c>
      <c r="B16" s="3">
        <f>Table13[[#This Row],[Porcentaje de la muestra '[pct']]]*10000</f>
        <v>1000</v>
      </c>
      <c r="C16" s="4">
        <v>0.70099999999999996</v>
      </c>
      <c r="D16" s="4">
        <v>4.21</v>
      </c>
      <c r="E16" s="4">
        <v>2E-3</v>
      </c>
      <c r="F16" s="4">
        <v>0.49399999999999999</v>
      </c>
      <c r="G16" s="4">
        <v>3.806</v>
      </c>
      <c r="H16" s="4">
        <v>2E-3</v>
      </c>
    </row>
    <row r="17" spans="1:8">
      <c r="A17" s="2">
        <v>0.2</v>
      </c>
      <c r="B17" s="3">
        <f>Table13[[#This Row],[Porcentaje de la muestra '[pct']]]*10000</f>
        <v>2000</v>
      </c>
      <c r="C17" s="4">
        <v>1.1100000000000001</v>
      </c>
      <c r="D17" s="4">
        <v>9.98</v>
      </c>
      <c r="E17" s="4">
        <v>2E-3</v>
      </c>
      <c r="F17" s="4">
        <v>0.66900000000000004</v>
      </c>
      <c r="G17" s="4">
        <v>9.7530000000000001</v>
      </c>
      <c r="H17" s="4">
        <v>1E-3</v>
      </c>
    </row>
    <row r="18" spans="1:8">
      <c r="A18" s="2">
        <v>0.3</v>
      </c>
      <c r="B18" s="3">
        <f>Table13[[#This Row],[Porcentaje de la muestra '[pct']]]*10000</f>
        <v>3000</v>
      </c>
      <c r="C18" s="4">
        <v>1.4790000000000001</v>
      </c>
      <c r="D18" s="4">
        <v>19.817</v>
      </c>
      <c r="E18" s="4">
        <v>1E-3</v>
      </c>
      <c r="F18" s="4">
        <v>1.0269999999999999</v>
      </c>
      <c r="G18" s="4">
        <v>20.097999999999999</v>
      </c>
      <c r="H18" s="4">
        <v>2E-3</v>
      </c>
    </row>
    <row r="19" spans="1:8">
      <c r="A19" s="2">
        <v>0.5</v>
      </c>
      <c r="B19" s="3">
        <f>Table13[[#This Row],[Porcentaje de la muestra '[pct']]]*10000</f>
        <v>5000</v>
      </c>
      <c r="C19" s="4">
        <v>2.8090000000000002</v>
      </c>
      <c r="D19" s="4">
        <v>52.381</v>
      </c>
      <c r="E19" s="4">
        <v>2E-3</v>
      </c>
      <c r="F19" s="4">
        <v>1.804</v>
      </c>
      <c r="G19" s="4">
        <v>53.573</v>
      </c>
      <c r="H19" s="4">
        <v>2E-3</v>
      </c>
    </row>
    <row r="20" spans="1:8">
      <c r="A20" s="2">
        <v>0.8</v>
      </c>
      <c r="B20" s="3">
        <f>Table13[[#This Row],[Porcentaje de la muestra '[pct']]]*10000</f>
        <v>8000</v>
      </c>
      <c r="C20" s="4">
        <v>4.0209999999999999</v>
      </c>
      <c r="D20" s="4">
        <v>140.553</v>
      </c>
      <c r="E20" s="4">
        <v>6.0000000000000001E-3</v>
      </c>
      <c r="F20" s="4">
        <v>3.1779999999999999</v>
      </c>
      <c r="G20" s="4">
        <v>139.53700000000001</v>
      </c>
      <c r="H20" s="4">
        <v>2E-3</v>
      </c>
    </row>
    <row r="21" spans="1:8">
      <c r="A21" s="2">
        <v>1</v>
      </c>
      <c r="B21" s="3">
        <f>Table13[[#This Row],[Porcentaje de la muestra '[pct']]]*10000</f>
        <v>10000</v>
      </c>
      <c r="C21" s="4">
        <v>5.07</v>
      </c>
      <c r="D21" s="4">
        <v>222.35599999999999</v>
      </c>
      <c r="E21" s="4">
        <v>1E-3</v>
      </c>
      <c r="F21" s="4">
        <v>4.4000000000000004</v>
      </c>
      <c r="G21" s="4">
        <v>222.10300000000001</v>
      </c>
      <c r="H21" s="4">
        <v>2E-3</v>
      </c>
    </row>
    <row r="22" spans="1:8">
      <c r="A22" s="9"/>
      <c r="B22" s="10">
        <f>Table13[[#This Row],[Porcentaje de la muestra '[pct']]]*10000</f>
        <v>0</v>
      </c>
      <c r="C22" s="4"/>
      <c r="D22" s="4"/>
      <c r="E22" s="11"/>
      <c r="F22" s="12"/>
      <c r="G22" s="12"/>
      <c r="H22" s="12"/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Pablo Rocha</cp:lastModifiedBy>
  <cp:revision/>
  <dcterms:created xsi:type="dcterms:W3CDTF">2021-02-18T03:17:26Z</dcterms:created>
  <dcterms:modified xsi:type="dcterms:W3CDTF">2026-09-07T02:30:28Z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