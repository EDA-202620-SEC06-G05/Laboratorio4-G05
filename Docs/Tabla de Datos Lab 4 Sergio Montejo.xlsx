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Repositorios\Laboratorio4-G05\Docs\"/>
    </mc:Choice>
  </mc:AlternateContent>
  <xr:revisionPtr revIDLastSave="0" documentId="8_{BC326497-3D8A-4091-85FB-02865CFDF149}" xr6:coauthVersionLast="47" xr6:coauthVersionMax="47" xr10:uidLastSave="{00000000-0000-0000-0000-000000000000}"/>
  <bookViews>
    <workbookView xWindow="-108" yWindow="-108" windowWidth="23256" windowHeight="12456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<sst xmlns="http://schemas.openxmlformats.org/spreadsheetml/2006/main" count="69" uniqueCount="37">
  <si>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</si>
  <si>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</si>
  <si>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</si>
  <si>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</si>
  <si>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</si>
  <si>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</si>
  <si>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</si>
  <si>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</si>
  <si>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</si>
  <si>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</si>
  <si>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</si>
  <si>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</si>
  <si>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</si>
  <si>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</si>
  <si>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</si>
  <si>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</si>
  <si>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</si>
  <si>
    <t>0.042</t>
  </si>
  <si>
    <t>0.003</t>
  </si>
  <si>
    <t>0.117</t>
  </si>
  <si>
    <t>0.022</t>
  </si>
  <si>
    <t>0.002</t>
  </si>
  <si>
    <t>0.105</t>
  </si>
  <si>
    <t>0.591</t>
  </si>
  <si>
    <t>0.196</t>
  </si>
  <si>
    <t>0.756</t>
  </si>
  <si>
    <t>0.640</t>
  </si>
  <si>
    <t>0.005</t>
  </si>
  <si>
    <t>0.840</t>
  </si>
  <si>
    <t>0.004</t>
  </si>
  <si>
    <t>0.246</t>
  </si>
  <si>
    <t>0.213</t>
  </si>
  <si>
    <t>0.044</t>
  </si>
  <si>
    <t>0.139</t>
  </si>
  <si>
    <t>0.560</t>
  </si>
  <si>
    <t>0.706</t>
  </si>
  <si>
    <t>0.443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</si>
</sst>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3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microsoft.com/office/2017/10/relationships/person" Target="persons/person.xml"/><Relationship Id="rId5" Type="http://schemas.openxmlformats.org/officeDocument/2006/relationships/chartsheet" Target="chartsheets/sheet4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1332</c:v>
                </c:pt>
                <c:pt idx="4" formatCode="#,##0">
                  <c:v>1882</c:v>
                </c:pt>
                <c:pt idx="5" formatCode="#,##0">
                  <c:v>3402</c:v>
                </c:pt>
                <c:pt idx="6" formatCode="#,##0">
                  <c:v>5550</c:v>
                </c:pt>
                <c:pt idx="7" formatCode="#,##0">
                  <c:v>7250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1518</c:v>
                </c:pt>
                <c:pt idx="4" formatCode="#,##0">
                  <c:v>2045</c:v>
                </c:pt>
                <c:pt idx="5" formatCode="#,##0">
                  <c:v>3236</c:v>
                </c:pt>
                <c:pt idx="6" formatCode="#,##0">
                  <c:v>6764</c:v>
                </c:pt>
                <c:pt idx="7" formatCode="#,##0">
                  <c:v>7465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#,##0</c:formatCode>
                <c:ptCount val="9"/>
                <c:pt idx="0" formatCode="General">
                  <c:v>0</c:v>
                </c:pt>
                <c:pt idx="1">
                  <c:v>1106</c:v>
                </c:pt>
                <c:pt idx="2">
                  <c:v>3209</c:v>
                </c:pt>
                <c:pt idx="3">
                  <c:v>9794</c:v>
                </c:pt>
                <c:pt idx="4">
                  <c:v>24142</c:v>
                </c:pt>
                <c:pt idx="5">
                  <c:v>57538</c:v>
                </c:pt>
                <c:pt idx="6">
                  <c:v>134845</c:v>
                </c:pt>
                <c:pt idx="7">
                  <c:v>211221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1065</c:v>
                </c:pt>
                <c:pt idx="2" formatCode="0.00">
                  <c:v>3.1139999999999999</c:v>
                </c:pt>
                <c:pt idx="3">
                  <c:v>12735</c:v>
                </c:pt>
                <c:pt idx="4">
                  <c:v>18754</c:v>
                </c:pt>
                <c:pt idx="5">
                  <c:v>47643</c:v>
                </c:pt>
                <c:pt idx="6">
                  <c:v>137859</c:v>
                </c:pt>
                <c:pt idx="7">
                  <c:v>210470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1379</c:v>
                </c:pt>
                <c:pt idx="5" formatCode="#,##0">
                  <c:v>2783</c:v>
                </c:pt>
                <c:pt idx="6" formatCode="#,##0">
                  <c:v>3471</c:v>
                </c:pt>
                <c:pt idx="7" formatCode="#,##0">
                  <c:v>6756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1240</c:v>
                </c:pt>
                <c:pt idx="4" formatCode="#,##0">
                  <c:v>4492</c:v>
                </c:pt>
                <c:pt idx="5" formatCode="#,##0">
                  <c:v>2311</c:v>
                </c:pt>
                <c:pt idx="6" formatCode="#,##0">
                  <c:v>3958</c:v>
                </c:pt>
                <c:pt idx="7" formatCode="#,##0">
                  <c:v>5278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1142</c:v>
                </c:pt>
                <c:pt idx="2">
                  <c:v>3119</c:v>
                </c:pt>
                <c:pt idx="3">
                  <c:v>10216</c:v>
                </c:pt>
                <c:pt idx="4">
                  <c:v>20783</c:v>
                </c:pt>
                <c:pt idx="5">
                  <c:v>51175</c:v>
                </c:pt>
                <c:pt idx="6">
                  <c:v>128674</c:v>
                </c:pt>
                <c:pt idx="7">
                  <c:v>205279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#,##0</c:formatCode>
                <c:ptCount val="8"/>
                <c:pt idx="0" formatCode="General">
                  <c:v>0</c:v>
                </c:pt>
                <c:pt idx="1">
                  <c:v>1102</c:v>
                </c:pt>
                <c:pt idx="2">
                  <c:v>4134</c:v>
                </c:pt>
                <c:pt idx="3">
                  <c:v>11695</c:v>
                </c:pt>
                <c:pt idx="4">
                  <c:v>21028</c:v>
                </c:pt>
                <c:pt idx="5">
                  <c:v>47190</c:v>
                </c:pt>
                <c:pt idx="6">
                  <c:v>124322</c:v>
                </c:pt>
                <c:pt idx="7">
                  <c:v>206185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15"/>
    <tableColumn id="4" xr3:uid="{56471E76-DCC6-4EED-8237-BCC256B57E91}" name="dequeue (Array List) " dataDxfId="14"/>
    <tableColumn id="5" xr3:uid="{61DF25D7-A2A3-4D39-B0C6-29804C1B33DB}" name="peek (Array List) " dataDxfId="13"/>
    <tableColumn id="8" xr3:uid="{092BA754-1EE8-42B8-A0C9-8E5FBAFE3FD2}" name="push (Array List)" dataDxfId="2"/>
    <tableColumn id="9" xr3:uid="{F7FD567A-4A42-4CDC-9449-A0BA8E9714D3}" name="pop (Array List)" dataDxfId="1"/>
    <tableColumn id="11" xr3:uid="{91D17C3E-2CFC-4978-91FF-19ADDF3A1CD9}" name="top(Array List) 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12" dataDxfId="11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10"/>
    <tableColumn id="2" xr3:uid="{4F9B7329-040C-4D35-96E7-B9181424DC65}" name="Tamaño de la muestra (LINKED_LIST)" dataDxfId="9">
      <calculatedColumnFormula>Table13[[#This Row],[Porcentaje de la muestra '[pct']]]*10000</calculatedColumnFormula>
    </tableColumn>
    <tableColumn id="3" xr3:uid="{BDA028DF-4CED-4928-B040-96AD8F8A43EB}" name="enqueue (Linked List) " dataDxfId="8"/>
    <tableColumn id="4" xr3:uid="{A5E99D51-DD73-48A7-AE0D-601A8EE89AFA}" name="dequeue (Linked List)  " dataDxfId="7"/>
    <tableColumn id="5" xr3:uid="{EE99E4CD-A6F0-492B-B754-38221659D42F}" name="peek (Linked List)  " dataDxfId="6"/>
    <tableColumn id="8" xr3:uid="{D4319BDE-1663-4E02-A459-D4E464B40376}" name="push (Linked List) " dataDxfId="5"/>
    <tableColumn id="9" xr3:uid="{D1102AA4-3669-4976-AB80-8CA1D8EED93A}" name="pop (Linked List) " dataDxfId="4"/>
    <tableColumn id="11" xr3:uid="{A75BD949-6BC0-4683-B105-18DE72DE82D5}" name="top(Linked List) 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H21"/>
  <sheetViews>
    <sheetView tabSelected="1" zoomScale="90" zoomScaleNormal="90" workbookViewId="0">
      <selection activeCell="F14" sqref="F14:H21"/>
    </sheetView>
  </sheetViews>
  <sheetFormatPr baseColWidth="10" defaultColWidth="8.88671875" defaultRowHeight="14.4"/>
  <cols>
    <col min="1" max="1" width="19.109375" style="1" bestFit="1" customWidth="1"/>
    <col min="2" max="2" width="25.5546875" style="1" bestFit="1" customWidth="1"/>
    <col min="3" max="4" width="24.44140625" style="1" customWidth="1"/>
    <col min="5" max="5" width="24.44140625" style="6" customWidth="1"/>
    <col min="6" max="12" width="24.44140625" customWidth="1"/>
  </cols>
  <sheetData>
    <row r="1" spans="1:8" ht="14.25" customHeight="1">
      <c r="C1" s="9" t="s">
        <v>0</v>
      </c>
      <c r="D1" s="9"/>
      <c r="E1" s="9"/>
      <c r="F1" s="10" t="s">
        <v>1</v>
      </c>
      <c r="G1" s="10"/>
      <c r="H1" s="10"/>
    </row>
    <row r="2" spans="1:8" s="5" customFormat="1" ht="27.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3.8">
      <c r="A3" s="2">
        <v>5.0000000000000001E-3</v>
      </c>
      <c r="B3" s="3">
        <f>Table1[[#This Row],[Porcentaje de la muestra '[pct']]]*10000</f>
        <v>50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spans="1:8" s="5" customFormat="1" ht="13.8">
      <c r="A4" s="2">
        <v>0.05</v>
      </c>
      <c r="B4" s="3">
        <f>Table1[[#This Row],[Porcentaje de la muestra '[pct']]]*10000</f>
        <v>500</v>
      </c>
      <c r="C4" s="4" t="s">
        <v>23</v>
      </c>
      <c r="D4" s="4" t="s">
        <v>21</v>
      </c>
      <c r="E4" s="7">
        <v>1106</v>
      </c>
      <c r="F4" s="4" t="s">
        <v>24</v>
      </c>
      <c r="G4" s="4" t="s">
        <v>21</v>
      </c>
      <c r="H4" s="7">
        <v>1142</v>
      </c>
    </row>
    <row r="5" spans="1:8">
      <c r="A5" s="2">
        <v>0.1</v>
      </c>
      <c r="B5" s="3">
        <f>Table1[[#This Row],[Porcentaje de la muestra '[pct']]]*10000</f>
        <v>1000</v>
      </c>
      <c r="C5" s="4" t="s">
        <v>25</v>
      </c>
      <c r="D5" s="4" t="s">
        <v>21</v>
      </c>
      <c r="E5" s="7">
        <v>3209</v>
      </c>
      <c r="F5" s="4" t="s">
        <v>26</v>
      </c>
      <c r="G5" s="4" t="s">
        <v>18</v>
      </c>
      <c r="H5" s="7">
        <v>3119</v>
      </c>
    </row>
    <row r="6" spans="1:8">
      <c r="A6" s="2">
        <v>0.2</v>
      </c>
      <c r="B6" s="3">
        <f>Table1[[#This Row],[Porcentaje de la muestra '[pct']]]*10000</f>
        <v>2000</v>
      </c>
      <c r="C6" s="7">
        <v>1332</v>
      </c>
      <c r="D6" s="4" t="s">
        <v>27</v>
      </c>
      <c r="E6" s="7">
        <v>9794</v>
      </c>
      <c r="F6" s="4" t="s">
        <v>28</v>
      </c>
      <c r="G6" s="4" t="s">
        <v>18</v>
      </c>
      <c r="H6" s="7">
        <v>10216</v>
      </c>
    </row>
    <row r="7" spans="1:8">
      <c r="A7" s="2">
        <v>0.3</v>
      </c>
      <c r="B7" s="3">
        <f>Table1[[#This Row],[Porcentaje de la muestra '[pct']]]*10000</f>
        <v>3000</v>
      </c>
      <c r="C7" s="7">
        <v>1882</v>
      </c>
      <c r="D7" s="4" t="s">
        <v>21</v>
      </c>
      <c r="E7" s="7">
        <v>24142</v>
      </c>
      <c r="F7" s="7">
        <v>1379</v>
      </c>
      <c r="G7" s="4" t="s">
        <v>21</v>
      </c>
      <c r="H7" s="7">
        <v>20783</v>
      </c>
    </row>
    <row r="8" spans="1:8">
      <c r="A8" s="2">
        <v>0.5</v>
      </c>
      <c r="B8" s="3">
        <f>Table1[[#This Row],[Porcentaje de la muestra '[pct']]]*10000</f>
        <v>5000</v>
      </c>
      <c r="C8" s="7">
        <v>3402</v>
      </c>
      <c r="D8" s="4" t="s">
        <v>18</v>
      </c>
      <c r="E8" s="7">
        <v>57538</v>
      </c>
      <c r="F8" s="7">
        <v>2783</v>
      </c>
      <c r="G8" s="4" t="s">
        <v>18</v>
      </c>
      <c r="H8" s="7">
        <v>51175</v>
      </c>
    </row>
    <row r="9" spans="1:8">
      <c r="A9" s="2">
        <v>0.8</v>
      </c>
      <c r="B9" s="3">
        <f>Table1[[#This Row],[Porcentaje de la muestra '[pct']]]*10000</f>
        <v>8000</v>
      </c>
      <c r="C9" s="7">
        <v>5550</v>
      </c>
      <c r="D9" s="4" t="s">
        <v>18</v>
      </c>
      <c r="E9" s="7">
        <v>134845</v>
      </c>
      <c r="F9" s="7">
        <v>3471</v>
      </c>
      <c r="G9" s="4" t="s">
        <v>18</v>
      </c>
      <c r="H9" s="7">
        <v>128674</v>
      </c>
    </row>
    <row r="10" spans="1:8">
      <c r="A10" s="2">
        <v>1</v>
      </c>
      <c r="B10" s="3">
        <f>Table1[[#This Row],[Porcentaje de la muestra '[pct']]]*10000</f>
        <v>10000</v>
      </c>
      <c r="C10" s="7">
        <v>7250</v>
      </c>
      <c r="D10" s="4" t="s">
        <v>18</v>
      </c>
      <c r="E10" s="7">
        <v>211221</v>
      </c>
      <c r="F10" s="7">
        <v>6756</v>
      </c>
      <c r="G10" s="4" t="s">
        <v>29</v>
      </c>
      <c r="H10" s="7">
        <v>205279</v>
      </c>
    </row>
    <row r="12" spans="1:8" ht="14.25" customHeight="1">
      <c r="C12" s="9" t="s">
        <v>0</v>
      </c>
      <c r="D12" s="9"/>
      <c r="E12" s="9"/>
      <c r="F12" s="10" t="s">
        <v>1</v>
      </c>
      <c r="G12" s="10"/>
      <c r="H12" s="10"/>
    </row>
    <row r="13" spans="1:8" s="5" customFormat="1" ht="27.6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3.8">
      <c r="A14" s="2">
        <v>5.0000000000000001E-3</v>
      </c>
      <c r="B14" s="3">
        <f>Table13[[#This Row],[Porcentaje de la muestra '[pct']]]*10000</f>
        <v>50</v>
      </c>
      <c r="C14" s="4" t="s">
        <v>30</v>
      </c>
      <c r="D14" s="4" t="s">
        <v>27</v>
      </c>
      <c r="E14" s="4" t="s">
        <v>31</v>
      </c>
      <c r="F14" s="4" t="s">
        <v>32</v>
      </c>
      <c r="G14" s="4" t="s">
        <v>32</v>
      </c>
      <c r="H14" s="4" t="s">
        <v>33</v>
      </c>
    </row>
    <row r="15" spans="1:8" s="5" customFormat="1" ht="13.8">
      <c r="A15" s="2">
        <v>0.05</v>
      </c>
      <c r="B15" s="3">
        <f>Table13[[#This Row],[Porcentaje de la muestra '[pct']]]*10000</f>
        <v>500</v>
      </c>
      <c r="C15" s="4" t="s">
        <v>34</v>
      </c>
      <c r="D15" s="4" t="s">
        <v>21</v>
      </c>
      <c r="E15" s="7">
        <v>1065</v>
      </c>
      <c r="F15" s="4" t="s">
        <v>24</v>
      </c>
      <c r="G15" s="4" t="s">
        <v>21</v>
      </c>
      <c r="H15" s="7">
        <v>1102</v>
      </c>
    </row>
    <row r="16" spans="1:8">
      <c r="A16" s="2">
        <v>0.1</v>
      </c>
      <c r="B16" s="3">
        <f>Table13[[#This Row],[Porcentaje de la muestra '[pct']]]*10000</f>
        <v>1000</v>
      </c>
      <c r="C16" s="4" t="s">
        <v>35</v>
      </c>
      <c r="D16" s="4" t="s">
        <v>21</v>
      </c>
      <c r="E16" s="8">
        <v>3.1139999999999999</v>
      </c>
      <c r="F16" s="4" t="s">
        <v>36</v>
      </c>
      <c r="G16" s="4" t="s">
        <v>21</v>
      </c>
      <c r="H16" s="7">
        <v>4134</v>
      </c>
    </row>
    <row r="17" spans="1:8">
      <c r="A17" s="2">
        <v>0.2</v>
      </c>
      <c r="B17" s="3">
        <f>Table13[[#This Row],[Porcentaje de la muestra '[pct']]]*10000</f>
        <v>2000</v>
      </c>
      <c r="C17" s="7">
        <v>1518</v>
      </c>
      <c r="D17" s="4" t="s">
        <v>18</v>
      </c>
      <c r="E17" s="7">
        <v>12735</v>
      </c>
      <c r="F17" s="7">
        <v>1240</v>
      </c>
      <c r="G17" s="4" t="s">
        <v>29</v>
      </c>
      <c r="H17" s="7">
        <v>11695</v>
      </c>
    </row>
    <row r="18" spans="1:8">
      <c r="A18" s="2">
        <v>0.3</v>
      </c>
      <c r="B18" s="3">
        <f>Table13[[#This Row],[Porcentaje de la muestra '[pct']]]*10000</f>
        <v>3000</v>
      </c>
      <c r="C18" s="7">
        <v>2045</v>
      </c>
      <c r="D18" s="4" t="s">
        <v>18</v>
      </c>
      <c r="E18" s="7">
        <v>18754</v>
      </c>
      <c r="F18" s="7">
        <v>4492</v>
      </c>
      <c r="G18" s="4" t="s">
        <v>18</v>
      </c>
      <c r="H18" s="7">
        <v>21028</v>
      </c>
    </row>
    <row r="19" spans="1:8">
      <c r="A19" s="2">
        <v>0.5</v>
      </c>
      <c r="B19" s="3">
        <f>Table13[[#This Row],[Porcentaje de la muestra '[pct']]]*10000</f>
        <v>5000</v>
      </c>
      <c r="C19" s="7">
        <v>3236</v>
      </c>
      <c r="D19" s="4" t="s">
        <v>21</v>
      </c>
      <c r="E19" s="7">
        <v>47643</v>
      </c>
      <c r="F19" s="7">
        <v>2311</v>
      </c>
      <c r="G19" s="4" t="s">
        <v>21</v>
      </c>
      <c r="H19" s="7">
        <v>47190</v>
      </c>
    </row>
    <row r="20" spans="1:8">
      <c r="A20" s="2">
        <v>0.8</v>
      </c>
      <c r="B20" s="3">
        <f>Table13[[#This Row],[Porcentaje de la muestra '[pct']]]*10000</f>
        <v>8000</v>
      </c>
      <c r="C20" s="7">
        <v>6764</v>
      </c>
      <c r="D20" s="4" t="s">
        <v>18</v>
      </c>
      <c r="E20" s="7">
        <v>137859</v>
      </c>
      <c r="F20" s="7">
        <v>3958</v>
      </c>
      <c r="G20" s="4" t="s">
        <v>29</v>
      </c>
      <c r="H20" s="7">
        <v>124322</v>
      </c>
    </row>
    <row r="21" spans="1:8">
      <c r="A21" s="2">
        <v>1</v>
      </c>
      <c r="B21" s="3">
        <f>Table13[[#This Row],[Porcentaje de la muestra '[pct']]]*10000</f>
        <v>10000</v>
      </c>
      <c r="C21" s="7">
        <v>7465</v>
      </c>
      <c r="D21" s="4" t="s">
        <v>21</v>
      </c>
      <c r="E21" s="7">
        <v>210470</v>
      </c>
      <c r="F21" s="7">
        <v>5278</v>
      </c>
      <c r="G21" s="4" t="s">
        <v>18</v>
      </c>
      <c r="H21" s="7">
        <v>206185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81d43c-19e2-43e9-9272-1fc9f166a5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BA71B51F757142A4C01A0CB2816BC9" ma:contentTypeVersion="5" ma:contentTypeDescription="Crear nuevo documento." ma:contentTypeScope="" ma:versionID="76d0e3ebfdbc7532fde35c82b259e045">
  <xsd:schema xmlns:xsd="http://www.w3.org/2001/XMLSchema" xmlns:xs="http://www.w3.org/2001/XMLSchema" xmlns:p="http://schemas.microsoft.com/office/2006/metadata/properties" xmlns:ns3="f981d43c-19e2-43e9-9272-1fc9f166a5f6" targetNamespace="http://schemas.microsoft.com/office/2006/metadata/properties" ma:root="true" ma:fieldsID="b82ba1bf92004848c0ac35f5761b9c24" ns3:_="">
    <xsd:import namespace="f981d43c-19e2-43e9-9272-1fc9f166a5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1d43c-19e2-43e9-9272-1fc9f166a5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5E1E0-C817-4769-9D2D-1DC296B681FA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f981d43c-19e2-43e9-9272-1fc9f166a5f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50DCC79-3E31-4646-8DEC-78BDD5D249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81d43c-19e2-43e9-9272-1fc9f166a5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Sergio Andres Montejo Luna</cp:lastModifiedBy>
  <cp:revision/>
  <dcterms:created xsi:type="dcterms:W3CDTF">2021-02-18T03:17:26Z</dcterms:created>
  <dcterms:modified xsi:type="dcterms:W3CDTF">2026-09-07T17:53:13Z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0x01010093BA71B51F757142A4C01A0CB2816BC9</vt:lpwstr>
  </property>
  <property fmtid="{D5CDD505-2E9C-101B-9397-08002B2CF9AE}" pid="3" name="MediaServiceImageTags">
    <vt:lpwstr/>
  </property>
</Properties>
</file>